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\Documents\"/>
    </mc:Choice>
  </mc:AlternateContent>
  <xr:revisionPtr revIDLastSave="0" documentId="8_{71B93992-4125-4AF5-8928-5CD3AF0C54E5}" xr6:coauthVersionLast="47" xr6:coauthVersionMax="47" xr10:uidLastSave="{00000000-0000-0000-0000-000000000000}"/>
  <bookViews>
    <workbookView xWindow="-120" yWindow="-120" windowWidth="19440" windowHeight="15000" activeTab="3" xr2:uid="{B3138F7F-33C0-4E8A-911F-65A3E0C5BB86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<sst xmlns="http://schemas.openxmlformats.org/spreadsheetml/2006/main" count="153" uniqueCount="104">
  <si>
    <t>Codigo</t>
  </si>
  <si>
    <t>Departamento</t>
  </si>
  <si>
    <t>Sueldo Base</t>
  </si>
  <si>
    <t>Dias Operados</t>
  </si>
  <si>
    <t>Faltas</t>
  </si>
  <si>
    <t>Bono Extra</t>
  </si>
  <si>
    <t>Anna</t>
  </si>
  <si>
    <t>Pedro</t>
  </si>
  <si>
    <t>Roberto</t>
  </si>
  <si>
    <t>Alice</t>
  </si>
  <si>
    <t>Medrano</t>
  </si>
  <si>
    <t>Yulisa</t>
  </si>
  <si>
    <t>Rebeca</t>
  </si>
  <si>
    <t>Carlos</t>
  </si>
  <si>
    <t>Carmen</t>
  </si>
  <si>
    <t>Lusia</t>
  </si>
  <si>
    <t>Berenice</t>
  </si>
  <si>
    <t>Lalo</t>
  </si>
  <si>
    <t>Nidia</t>
  </si>
  <si>
    <t>Luna</t>
  </si>
  <si>
    <t>Mario</t>
  </si>
  <si>
    <t>Peten</t>
  </si>
  <si>
    <t>Alta Verapaz</t>
  </si>
  <si>
    <t>Santa Rosa</t>
  </si>
  <si>
    <t>Jalapa</t>
  </si>
  <si>
    <t>Jutiapa</t>
  </si>
  <si>
    <t>Baja Verapaz</t>
  </si>
  <si>
    <t>Guatemala</t>
  </si>
  <si>
    <t>Nombrte</t>
  </si>
  <si>
    <t>Nit</t>
  </si>
  <si>
    <t>Monto Solicitado</t>
  </si>
  <si>
    <t>Ingresos Mensuales</t>
  </si>
  <si>
    <t>Dictamen Inicial</t>
  </si>
  <si>
    <t>Empresas</t>
  </si>
  <si>
    <t>Bimbo</t>
  </si>
  <si>
    <t>Coca Cola</t>
  </si>
  <si>
    <t>Pepsi</t>
  </si>
  <si>
    <t>Dólar Cyty</t>
  </si>
  <si>
    <t>Mac donals</t>
  </si>
  <si>
    <t>Taco bell</t>
  </si>
  <si>
    <t>Victoria Cyty</t>
  </si>
  <si>
    <t>Campero</t>
  </si>
  <si>
    <t>Walmat</t>
  </si>
  <si>
    <t>Paiz</t>
  </si>
  <si>
    <t>Sevicheria</t>
  </si>
  <si>
    <t>Picoteo</t>
  </si>
  <si>
    <t>Despensa Familiar</t>
  </si>
  <si>
    <t>Macarrone</t>
  </si>
  <si>
    <t>Pizza hot</t>
  </si>
  <si>
    <t>ID SERVIDOR</t>
  </si>
  <si>
    <t>NOMBRE</t>
  </si>
  <si>
    <t>SISTEMA OPERATIVO</t>
  </si>
  <si>
    <t>INTENTOS FALLIDOS</t>
  </si>
  <si>
    <t>ANTIGÜEDAD (MESES)</t>
  </si>
  <si>
    <t>PROTOCOLO DE ACCION</t>
  </si>
  <si>
    <t>ANNA</t>
  </si>
  <si>
    <t>AMELIA</t>
  </si>
  <si>
    <t>BERENICE</t>
  </si>
  <si>
    <t>CARMEN</t>
  </si>
  <si>
    <t>CARLOS</t>
  </si>
  <si>
    <t>CARINA</t>
  </si>
  <si>
    <t>LUSIA</t>
  </si>
  <si>
    <t>MENDES</t>
  </si>
  <si>
    <t>MARCELO</t>
  </si>
  <si>
    <t>LUCIA</t>
  </si>
  <si>
    <t>SANTIAGO</t>
  </si>
  <si>
    <t>EMILIO</t>
  </si>
  <si>
    <t>SOFIA</t>
  </si>
  <si>
    <t>EUNICE</t>
  </si>
  <si>
    <t>VERONICA</t>
  </si>
  <si>
    <t>ISMAEL</t>
  </si>
  <si>
    <t>DIEGO</t>
  </si>
  <si>
    <t>JOEL</t>
  </si>
  <si>
    <t>JULIO</t>
  </si>
  <si>
    <t>REBECA</t>
  </si>
  <si>
    <t>WINDOWS</t>
  </si>
  <si>
    <t>LINUX</t>
  </si>
  <si>
    <t>CODIGO</t>
  </si>
  <si>
    <t>CATEGORIA PRODUCTO</t>
  </si>
  <si>
    <t>IMPUSTO APLICABLE</t>
  </si>
  <si>
    <t>DESCRIPCION</t>
  </si>
  <si>
    <t>HARDWARE</t>
  </si>
  <si>
    <t>SOFTWARE</t>
  </si>
  <si>
    <t>AUDIFONOS COLOR AZUL</t>
  </si>
  <si>
    <t>WINDOWS 10</t>
  </si>
  <si>
    <t>TELEFONO COLOR VERDE</t>
  </si>
  <si>
    <t>TELEFONO AZUL</t>
  </si>
  <si>
    <t>RADIO NEGRO</t>
  </si>
  <si>
    <t>RADIO AZUL</t>
  </si>
  <si>
    <t>MONITOR NEGRO</t>
  </si>
  <si>
    <t>MOPNITOR AZUL</t>
  </si>
  <si>
    <t>TECLADO ROSA</t>
  </si>
  <si>
    <t>RJ45 CABLE</t>
  </si>
  <si>
    <t>TELEFONO CELESTE</t>
  </si>
  <si>
    <t>CABLE AZUL</t>
  </si>
  <si>
    <t>CABLE VERDE</t>
  </si>
  <si>
    <t>WATSSAPP VERDE</t>
  </si>
  <si>
    <t>FACEBOOK AZUL</t>
  </si>
  <si>
    <t>REDES</t>
  </si>
  <si>
    <t>MICROFT EXCEL</t>
  </si>
  <si>
    <t>MICROFOT WORD</t>
  </si>
  <si>
    <t>LICENCIAS</t>
  </si>
  <si>
    <t>CATEGORIA DE PRODUCTO</t>
  </si>
  <si>
    <t>TASA DE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</si>
</sst>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Q&quot;#,##0.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8D9FB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0" fontId="0" fillId="0" borderId="3" xfId="0" applyBorder="1"/>
    <xf numFmtId="0" fontId="0" fillId="2" borderId="3" xfId="0" applyFill="1" applyBorder="1"/>
    <xf numFmtId="0" fontId="0" fillId="0" borderId="1" xfId="0" applyBorder="1"/>
    <xf numFmtId="0" fontId="0" fillId="2" borderId="7" xfId="0" applyFill="1" applyBorder="1"/>
    <xf numFmtId="0" fontId="0" fillId="0" borderId="8" xfId="0" applyBorder="1"/>
    <xf numFmtId="0" fontId="0" fillId="2" borderId="8" xfId="0" applyFill="1" applyBorder="1"/>
    <xf numFmtId="0" fontId="0" fillId="0" borderId="9" xfId="0" applyBorder="1"/>
    <xf numFmtId="0" fontId="0" fillId="3" borderId="3" xfId="0" applyFill="1" applyBorder="1"/>
    <xf numFmtId="164" fontId="0" fillId="3" borderId="3" xfId="0" applyNumberFormat="1" applyFill="1" applyBorder="1"/>
    <xf numFmtId="0" fontId="0" fillId="3" borderId="2" xfId="0" applyFill="1" applyBorder="1"/>
    <xf numFmtId="0" fontId="0" fillId="3" borderId="7" xfId="0" applyFill="1" applyBorder="1"/>
    <xf numFmtId="0" fontId="0" fillId="3" borderId="8" xfId="0" applyFill="1" applyBorder="1"/>
    <xf numFmtId="9" fontId="0" fillId="0" borderId="0" xfId="0" applyNumberFormat="1"/>
  </cellXfs>
  <cellStyles count="1">
    <cellStyle name="Normal" xfId="0" builtinId="0"/>
  </cellStyles>
  <dxfs count="47">
    <dxf>
      <fill>
        <patternFill patternType="solid">
          <fgColor indexed="64"/>
          <bgColor rgb="FFF8D9FB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8D9FB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8D9FB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8D9FB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8D9FB"/>
        </patternFill>
      </fill>
    </dxf>
    <dxf>
      <numFmt numFmtId="13" formatCode="0%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8D9FB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8D9FB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8D9FB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8D9FB"/>
        </patternFill>
      </fill>
    </dxf>
    <dxf>
      <fill>
        <patternFill patternType="solid">
          <fgColor indexed="64"/>
          <bgColor rgb="FFF8D9FB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Q&quot;#,##0.00"/>
      <fill>
        <patternFill patternType="solid">
          <fgColor indexed="64"/>
          <bgColor rgb="FFF8D9FB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8D9FB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8D9FB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8D9FB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8" tint="0.79998168889431442"/>
        </patternFill>
      </fill>
      <border>
        <left style="thin">
          <color rgb="FFFA94FC"/>
        </left>
        <right style="thin">
          <color rgb="FFFA94FC"/>
        </right>
        <top style="thin">
          <color rgb="FFFA94FC"/>
        </top>
        <bottom style="thin">
          <color rgb="FFFA94FC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8" tint="0.59996337778862885"/>
      </font>
      <fill>
        <patternFill>
          <fgColor auto="1"/>
        </patternFill>
      </fill>
      <border>
        <left style="thin">
          <color auto="1"/>
        </lef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fgColor theme="8" tint="0.59996337778862885"/>
        </patternFill>
      </fill>
    </dxf>
    <dxf>
      <fill>
        <patternFill>
          <f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ont>
        <color theme="1"/>
      </font>
    </dxf>
    <dxf>
      <font>
        <color theme="8" tint="0.59996337778862885"/>
      </font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4" tint="0.79998168889431442"/>
      </font>
    </dxf>
    <dxf>
      <font>
        <color auto="1"/>
      </font>
      <border>
        <left style="thin">
          <color theme="4" tint="0.79998168889431442"/>
        </left>
        <right style="thin">
          <color theme="4" tint="0.79998168889431442"/>
        </right>
        <top style="thin">
          <color theme="4" tint="0.79998168889431442"/>
        </top>
        <bottom style="thin">
          <color theme="4" tint="0.79998168889431442"/>
        </bottom>
        <vertical style="thin">
          <color theme="4" tint="0.79998168889431442"/>
        </vertical>
        <horizontal style="thin">
          <color theme="4" tint="0.79998168889431442"/>
        </horizontal>
      </border>
    </dxf>
  </dxfs>
  <tableStyles count="6" defaultTableStyle="TableStyleMedium2" defaultPivotStyle="PivotStyleLight16">
    <tableStyle name="Estilo de tabla 1" pivot="0" count="2" xr9:uid="{712DD221-FFAD-4FAC-8519-DC5076B79B79}">
      <tableStyleElement type="wholeTable" dxfId="46"/>
      <tableStyleElement type="headerRow" dxfId="45"/>
    </tableStyle>
    <tableStyle name="Estilo de tabla 2" pivot="0" count="1" xr9:uid="{33C5A66E-8AB9-4FB4-9A40-FF200E7849E9}">
      <tableStyleElement type="headerRow" dxfId="44"/>
    </tableStyle>
    <tableStyle name="Estilo de tabla 3" pivot="0" count="4" xr9:uid="{B576D473-1D2E-4FCB-AE2C-A4F597B0D80B}">
      <tableStyleElement type="headerRow" dxfId="42"/>
      <tableStyleElement type="totalRow" dxfId="41"/>
      <tableStyleElement type="firstColumn" dxfId="43"/>
      <tableStyleElement type="lastColumn" dxfId="40"/>
    </tableStyle>
    <tableStyle name="Estilo de tabla 4" pivot="0" count="2" xr9:uid="{B1B14F63-335E-4DEB-B0D1-B692570A52CB}">
      <tableStyleElement type="firstColumn" dxfId="39"/>
      <tableStyleElement type="lastColumn" dxfId="38"/>
    </tableStyle>
    <tableStyle name="Estilo de tabla 5" pivot="0" count="3" xr9:uid="{A1B4C312-4D0F-425D-9695-A29A1719AF7E}">
      <tableStyleElement type="headerRow" dxfId="36"/>
      <tableStyleElement type="totalRow" dxfId="35"/>
      <tableStyleElement type="firstColumn" dxfId="37"/>
    </tableStyle>
    <tableStyle name="Estilo de tabla 6" pivot="0" count="2" xr9:uid="{52734F2C-247A-4549-8183-B1307A000EBB}">
      <tableStyleElement type="headerRow" dxfId="23"/>
      <tableStyleElement type="firstColumnStripe" dxfId="22"/>
    </tableStyle>
  </tableStyles>
  <colors>
    <mruColors>
      <color rgb="FFF8D9FB"/>
      <color rgb="FFFA94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7561F-9306-4B81-8DCC-0E1A8B798F94}" name="Planilla_Compensaciones.xlsx" displayName="Planilla_Compensaciones.xlsx" ref="A1:G16" totalsRowShown="0" headerRowDxfId="24" headerRowBorderDxfId="33" tableBorderDxfId="34" totalsRowBorderDxfId="32">
  <autoFilter ref="A1:G16" xr:uid="{F167561F-9306-4B81-8DCC-0E1A8B798F94}"/>
  <tableColumns count="7">
    <tableColumn id="1" xr3:uid="{7887662F-4365-40D5-AA59-158E326DF61E}" name="Codigo" dataDxfId="31"/>
    <tableColumn id="2" xr3:uid="{9D26DFE2-53FC-44FB-A897-93DD6CF228B1}" name="Nombrte" dataDxfId="30"/>
    <tableColumn id="3" xr3:uid="{E6CBC4EC-38E4-4173-AC67-B00558F1E036}" name="Departamento" dataDxfId="29"/>
    <tableColumn id="4" xr3:uid="{CA2FC2FE-EEF5-4C00-AE69-ACF65AB8A6B8}" name="Sueldo Base" dataDxfId="28"/>
    <tableColumn id="5" xr3:uid="{C797E9A8-BBDF-4FB2-B322-C5D6F95BDA8B}" name="Dias Operados" dataDxfId="27"/>
    <tableColumn id="6" xr3:uid="{A1C0ED00-7083-4857-A237-8F90FFD8F5E1}" name="Faltas" dataDxfId="26"/>
    <tableColumn id="7" xr3:uid="{24131FA2-805E-4101-8A7D-CC92A1128180}" name="Bono Extra" dataDxfId="25">
      <calculatedColumnFormula>IF(OR(C2="VENTAS",C2="SISTEMAS",F2&lt;=0),D2*15%,0)</calculatedColumnFormula>
    </tableColumn>
  </tableColumns>
  <tableStyleInfo name="Estilo de tabla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E5A925-6740-4C36-9BC5-584C8C7F1207}" name="Tabla2" displayName="Tabla2" ref="A1:E16" totalsRowShown="0" dataDxfId="16">
  <autoFilter ref="A1:E16" xr:uid="{22E5A925-6740-4C36-9BC5-584C8C7F1207}"/>
  <tableColumns count="5">
    <tableColumn id="1" xr3:uid="{36C9ED6D-1C8D-4DC6-9557-DC6CB1E3A957}" name="Nit" dataDxfId="21"/>
    <tableColumn id="2" xr3:uid="{C625751B-47B7-48EF-8082-A6E0AC28E1C0}" name="Empresas" dataDxfId="20"/>
    <tableColumn id="3" xr3:uid="{CBC3993D-F578-4178-9734-CB0A5FE669AB}" name="Ingresos Mensuales" dataDxfId="19"/>
    <tableColumn id="4" xr3:uid="{68345C35-9884-46F5-8CA0-3F6677FDCA96}" name="Monto Solicitado" dataDxfId="18"/>
    <tableColumn id="5" xr3:uid="{A7C491B4-9D8D-4202-A50B-550159C6FEB4}" name="Dictamen Inicial" dataDxfId="17">
      <calculatedColumnFormula>IF(D2&gt;=50000,"APROVACION INMEDIATA",IF(D2&gt;=30000,"REQUIERE CODEUDOR",IF(D2&gt;=15000,"ANALISIS DE COMITÉ","CREDITO DENEGADO")))</calculatedColumnFormula>
    </tableColumn>
  </tableColumns>
  <tableStyleInfo name="Estilo de tabla 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3DD301-12C5-481F-A99E-BCB2D21D8A60}" name="Tabla3" displayName="Tabla3" ref="A1:F21" totalsRowShown="0" headerRowDxfId="6" headerRowBorderDxfId="14" tableBorderDxfId="15" totalsRowBorderDxfId="13">
  <autoFilter ref="A1:F21" xr:uid="{C93DD301-12C5-481F-A99E-BCB2D21D8A60}"/>
  <tableColumns count="6">
    <tableColumn id="1" xr3:uid="{4E455B8A-3ABC-4ECF-BA8E-BF3D375FFBAE}" name="ID SERVIDOR" dataDxfId="12"/>
    <tableColumn id="2" xr3:uid="{B83A78BE-64B4-4253-B8AC-BB9EBF32A833}" name="NOMBRE" dataDxfId="11"/>
    <tableColumn id="3" xr3:uid="{9254D3FF-7288-407D-AC3C-1C9676419258}" name="SISTEMA OPERATIVO" dataDxfId="10"/>
    <tableColumn id="4" xr3:uid="{3EC8B9D5-B91A-42DE-9DAD-F43B30F77395}" name="INTENTOS FALLIDOS" dataDxfId="9"/>
    <tableColumn id="5" xr3:uid="{D409BD42-FDCE-4F2D-AFFD-61D228602A60}" name="ANTIGÜEDAD (MESES)" dataDxfId="8"/>
    <tableColumn id="6" xr3:uid="{0D12D227-570B-4FA1-B188-76314F6A89EC}" name="PROTOCOLO DE ACCION" dataDxfId="7">
      <calculatedColumnFormula>IF(AND(D2&gt;=10,E2&gt;=24),"FORMATEAR Y BAJA SISTEMA",IF(OR(D2&gt;=5,E2&gt;=12),"AUDITORIAS DE CONTRASEÑAS URGENTE","SERVIDOR SEGURO"))</calculatedColumnFormula>
    </tableColumn>
  </tableColumns>
  <tableStyleInfo name="Estilo de tabla 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689FB7-0FB8-48EE-BF03-9364CFB61805}" name="Tabla5" displayName="Tabla5" ref="A1:D21" totalsRowShown="0" dataDxfId="4">
  <autoFilter ref="A1:D21" xr:uid="{66689FB7-0FB8-48EE-BF03-9364CFB61805}"/>
  <tableColumns count="4">
    <tableColumn id="1" xr3:uid="{0AAE0B95-742E-454E-B8D6-6E7CEA6B5A93}" name="CODIGO" dataDxfId="3"/>
    <tableColumn id="2" xr3:uid="{177D53E8-08A2-4E23-9EAB-B62BFE7B67CC}" name="DESCRIPCION" dataDxfId="2"/>
    <tableColumn id="3" xr3:uid="{993C9A76-9254-4E8D-9ACF-CAD87C9FFD77}" name="CATEGORIA PRODUCTO" dataDxfId="1"/>
    <tableColumn id="4" xr3:uid="{4906D196-C6C5-4B6E-A6C0-2C9AE524E3D7}" name="IMPUSTO APLICABLE" dataDxfId="0">
      <calculatedColumnFormula>VLOOKUP(C2,Tabla4[],2,FALSE)</calculatedColumnFormula>
    </tableColumn>
  </tableColumns>
  <tableStyleInfo name="Estilo de tabla 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E4DB52-2D16-4145-88AB-115AFEA51A5F}" name="Tabla4" displayName="Tabla4" ref="A1:B5" totalsRowShown="0">
  <autoFilter ref="A1:B5" xr:uid="{4AE4DB52-2D16-4145-88AB-115AFEA51A5F}"/>
  <tableColumns count="2">
    <tableColumn id="1" xr3:uid="{C726C984-8428-4018-8DC7-075D908EE7E8}" name="CATEGORIA DE PRODUCTO"/>
    <tableColumn id="2" xr3:uid="{2C234B2B-9389-4AE2-B5A5-1E57E5193B2D}" name="TASA DE PRODUCTO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5FA5-5AA0-46F8-AAB7-7AF971F6DD9F}">
  <dimension ref="A1:G16"/>
  <sheetViews>
    <sheetView workbookViewId="0">
      <selection activeCell="C18" sqref="C18"/>
    </sheetView>
  </sheetViews>
  <sheetFormatPr baseColWidth="10" defaultRowHeight="15" x14ac:dyDescent="0.25"/>
  <cols>
    <col min="3" max="3" width="16" customWidth="1"/>
    <col min="4" max="4" width="13.85546875" customWidth="1"/>
    <col min="5" max="5" width="15.85546875" customWidth="1"/>
    <col min="7" max="7" width="12.5703125" customWidth="1"/>
  </cols>
  <sheetData>
    <row r="1" spans="1:7" x14ac:dyDescent="0.25">
      <c r="A1" s="1" t="s">
        <v>0</v>
      </c>
      <c r="B1" s="2" t="s">
        <v>28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x14ac:dyDescent="0.25">
      <c r="A2" s="4">
        <v>1234</v>
      </c>
      <c r="B2" s="5" t="s">
        <v>6</v>
      </c>
      <c r="C2" s="6" t="s">
        <v>27</v>
      </c>
      <c r="D2" s="5">
        <v>1230</v>
      </c>
      <c r="E2" s="6">
        <v>50</v>
      </c>
      <c r="F2" s="5">
        <v>7</v>
      </c>
      <c r="G2" s="7">
        <f>IF(OR(C2="VENTAS",C2="SISTEMAS",F2&lt;=0),D2*15%,0)</f>
        <v>0</v>
      </c>
    </row>
    <row r="3" spans="1:7" x14ac:dyDescent="0.25">
      <c r="A3" s="4">
        <v>1245</v>
      </c>
      <c r="B3" s="5" t="s">
        <v>7</v>
      </c>
      <c r="C3" s="6" t="s">
        <v>21</v>
      </c>
      <c r="D3" s="5">
        <v>2782</v>
      </c>
      <c r="E3" s="6">
        <v>61</v>
      </c>
      <c r="F3" s="5">
        <v>9</v>
      </c>
      <c r="G3" s="7">
        <f t="shared" ref="G3:G16" si="0">IF(OR(C3="VENTAS",C3="SISTEMAS",F3&lt;=0),D3*15%,0)</f>
        <v>0</v>
      </c>
    </row>
    <row r="4" spans="1:7" x14ac:dyDescent="0.25">
      <c r="A4" s="4">
        <v>1678</v>
      </c>
      <c r="B4" s="5" t="s">
        <v>8</v>
      </c>
      <c r="C4" s="6" t="s">
        <v>22</v>
      </c>
      <c r="D4" s="5">
        <v>1234</v>
      </c>
      <c r="E4" s="6">
        <v>42</v>
      </c>
      <c r="F4" s="5">
        <v>7</v>
      </c>
      <c r="G4" s="7">
        <f t="shared" si="0"/>
        <v>0</v>
      </c>
    </row>
    <row r="5" spans="1:7" x14ac:dyDescent="0.25">
      <c r="A5" s="4">
        <v>1958</v>
      </c>
      <c r="B5" s="5" t="s">
        <v>9</v>
      </c>
      <c r="C5" s="6" t="s">
        <v>23</v>
      </c>
      <c r="D5" s="5">
        <v>1234</v>
      </c>
      <c r="E5" s="6">
        <v>53</v>
      </c>
      <c r="F5" s="5">
        <v>5</v>
      </c>
      <c r="G5" s="7">
        <f t="shared" si="0"/>
        <v>0</v>
      </c>
    </row>
    <row r="6" spans="1:7" x14ac:dyDescent="0.25">
      <c r="A6" s="4">
        <v>1734</v>
      </c>
      <c r="B6" s="5" t="s">
        <v>10</v>
      </c>
      <c r="C6" s="6" t="s">
        <v>24</v>
      </c>
      <c r="D6" s="5">
        <v>1256</v>
      </c>
      <c r="E6" s="6">
        <v>64</v>
      </c>
      <c r="F6" s="5">
        <v>4</v>
      </c>
      <c r="G6" s="7">
        <f t="shared" si="0"/>
        <v>0</v>
      </c>
    </row>
    <row r="7" spans="1:7" x14ac:dyDescent="0.25">
      <c r="A7" s="4">
        <v>1739</v>
      </c>
      <c r="B7" s="5" t="s">
        <v>11</v>
      </c>
      <c r="C7" s="6" t="s">
        <v>25</v>
      </c>
      <c r="D7" s="5">
        <v>1278</v>
      </c>
      <c r="E7" s="6">
        <v>14</v>
      </c>
      <c r="F7" s="5">
        <v>3</v>
      </c>
      <c r="G7" s="7">
        <f t="shared" si="0"/>
        <v>0</v>
      </c>
    </row>
    <row r="8" spans="1:7" x14ac:dyDescent="0.25">
      <c r="A8" s="4">
        <v>1425</v>
      </c>
      <c r="B8" s="5" t="s">
        <v>12</v>
      </c>
      <c r="C8" s="6" t="s">
        <v>26</v>
      </c>
      <c r="D8" s="5">
        <v>1897</v>
      </c>
      <c r="E8" s="6">
        <v>12</v>
      </c>
      <c r="F8" s="5">
        <v>5</v>
      </c>
      <c r="G8" s="7">
        <f t="shared" si="0"/>
        <v>0</v>
      </c>
    </row>
    <row r="9" spans="1:7" x14ac:dyDescent="0.25">
      <c r="A9" s="4">
        <v>1544</v>
      </c>
      <c r="B9" s="5" t="s">
        <v>13</v>
      </c>
      <c r="C9" s="6" t="s">
        <v>27</v>
      </c>
      <c r="D9" s="5">
        <v>1567</v>
      </c>
      <c r="E9" s="6">
        <v>13</v>
      </c>
      <c r="F9" s="5">
        <v>6</v>
      </c>
      <c r="G9" s="7">
        <f t="shared" si="0"/>
        <v>0</v>
      </c>
    </row>
    <row r="10" spans="1:7" x14ac:dyDescent="0.25">
      <c r="A10" s="4">
        <v>1746</v>
      </c>
      <c r="B10" s="5" t="s">
        <v>14</v>
      </c>
      <c r="C10" s="6" t="s">
        <v>21</v>
      </c>
      <c r="D10" s="5">
        <v>1374</v>
      </c>
      <c r="E10" s="6">
        <v>34</v>
      </c>
      <c r="F10" s="5">
        <v>7</v>
      </c>
      <c r="G10" s="7">
        <f t="shared" si="0"/>
        <v>0</v>
      </c>
    </row>
    <row r="11" spans="1:7" x14ac:dyDescent="0.25">
      <c r="A11" s="4">
        <v>1865</v>
      </c>
      <c r="B11" s="5" t="s">
        <v>15</v>
      </c>
      <c r="C11" s="6" t="s">
        <v>22</v>
      </c>
      <c r="D11" s="5">
        <v>1235</v>
      </c>
      <c r="E11" s="6">
        <v>56</v>
      </c>
      <c r="F11" s="5">
        <v>9</v>
      </c>
      <c r="G11" s="7">
        <f t="shared" si="0"/>
        <v>0</v>
      </c>
    </row>
    <row r="12" spans="1:7" x14ac:dyDescent="0.25">
      <c r="A12" s="4">
        <v>1840</v>
      </c>
      <c r="B12" s="5" t="s">
        <v>16</v>
      </c>
      <c r="C12" s="6" t="s">
        <v>23</v>
      </c>
      <c r="D12" s="5">
        <v>1254</v>
      </c>
      <c r="E12" s="6">
        <v>34</v>
      </c>
      <c r="F12" s="5">
        <v>4</v>
      </c>
      <c r="G12" s="7">
        <f t="shared" si="0"/>
        <v>0</v>
      </c>
    </row>
    <row r="13" spans="1:7" x14ac:dyDescent="0.25">
      <c r="A13" s="4">
        <v>8679</v>
      </c>
      <c r="B13" s="5" t="s">
        <v>17</v>
      </c>
      <c r="C13" s="6" t="s">
        <v>24</v>
      </c>
      <c r="D13" s="5">
        <v>1872</v>
      </c>
      <c r="E13" s="6">
        <v>23</v>
      </c>
      <c r="F13" s="5">
        <v>3</v>
      </c>
      <c r="G13" s="7">
        <f t="shared" si="0"/>
        <v>0</v>
      </c>
    </row>
    <row r="14" spans="1:7" x14ac:dyDescent="0.25">
      <c r="A14" s="4">
        <v>8576</v>
      </c>
      <c r="B14" s="5" t="s">
        <v>18</v>
      </c>
      <c r="C14" s="6" t="s">
        <v>25</v>
      </c>
      <c r="D14" s="5">
        <v>1873</v>
      </c>
      <c r="E14" s="6">
        <v>34</v>
      </c>
      <c r="F14" s="5">
        <v>6</v>
      </c>
      <c r="G14" s="7">
        <f t="shared" si="0"/>
        <v>0</v>
      </c>
    </row>
    <row r="15" spans="1:7" x14ac:dyDescent="0.25">
      <c r="A15" s="4">
        <v>1745</v>
      </c>
      <c r="B15" s="5" t="s">
        <v>19</v>
      </c>
      <c r="C15" s="6" t="s">
        <v>26</v>
      </c>
      <c r="D15" s="5">
        <v>1763</v>
      </c>
      <c r="E15" s="6">
        <v>56</v>
      </c>
      <c r="F15" s="5">
        <v>7</v>
      </c>
      <c r="G15" s="7">
        <f t="shared" si="0"/>
        <v>0</v>
      </c>
    </row>
    <row r="16" spans="1:7" x14ac:dyDescent="0.25">
      <c r="A16" s="8">
        <v>1637</v>
      </c>
      <c r="B16" s="9" t="s">
        <v>20</v>
      </c>
      <c r="C16" s="10" t="s">
        <v>27</v>
      </c>
      <c r="D16" s="9">
        <v>1243</v>
      </c>
      <c r="E16" s="10">
        <v>34</v>
      </c>
      <c r="F16" s="9">
        <v>7</v>
      </c>
      <c r="G16" s="11">
        <f t="shared" si="0"/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6523-F866-4E4E-B32C-A6AE1CF37397}">
  <dimension ref="A1:E1048576"/>
  <sheetViews>
    <sheetView workbookViewId="0">
      <selection activeCell="C18" sqref="C18"/>
    </sheetView>
  </sheetViews>
  <sheetFormatPr baseColWidth="10" defaultRowHeight="15" x14ac:dyDescent="0.25"/>
  <cols>
    <col min="2" max="2" width="17.5703125" customWidth="1"/>
    <col min="3" max="3" width="20.7109375" customWidth="1"/>
    <col min="4" max="4" width="18.85546875" customWidth="1"/>
    <col min="5" max="5" width="24" customWidth="1"/>
  </cols>
  <sheetData>
    <row r="1" spans="1:5" x14ac:dyDescent="0.25">
      <c r="A1" t="s">
        <v>29</v>
      </c>
      <c r="B1" t="s">
        <v>33</v>
      </c>
      <c r="C1" t="s">
        <v>31</v>
      </c>
      <c r="D1" t="s">
        <v>30</v>
      </c>
      <c r="E1" t="s">
        <v>32</v>
      </c>
    </row>
    <row r="2" spans="1:5" x14ac:dyDescent="0.25">
      <c r="A2" s="12">
        <v>123456</v>
      </c>
      <c r="B2" s="12" t="s">
        <v>34</v>
      </c>
      <c r="C2" s="12">
        <v>12345</v>
      </c>
      <c r="D2" s="13">
        <v>50000</v>
      </c>
      <c r="E2" s="12" t="str">
        <f>IF(D2&gt;=50000,"APROVACION INMEDIATA",IF(D2&gt;=30000,"REQUIERE CODEUDOR",IF(D2&gt;=15000,"ANALISIS DE COMITÉ","CREDITO DENEGADO")))</f>
        <v>APROVACION INMEDIATA</v>
      </c>
    </row>
    <row r="3" spans="1:5" x14ac:dyDescent="0.25">
      <c r="A3" s="12">
        <v>123456</v>
      </c>
      <c r="B3" s="12" t="s">
        <v>35</v>
      </c>
      <c r="C3" s="12">
        <v>46732</v>
      </c>
      <c r="D3" s="13">
        <v>57000</v>
      </c>
      <c r="E3" s="12" t="str">
        <f t="shared" ref="E3:E16" si="0">IF(D3&gt;=50000,"APROVACION INMEDIATA",IF(D3&gt;=30000,"REQUIERE CODEUDOR",IF(D3&gt;=15000,"ANALISIS DE COMITÉ","CREDITO DENEGADO")))</f>
        <v>APROVACION INMEDIATA</v>
      </c>
    </row>
    <row r="4" spans="1:5" x14ac:dyDescent="0.25">
      <c r="A4" s="12">
        <v>123456</v>
      </c>
      <c r="B4" s="12" t="s">
        <v>36</v>
      </c>
      <c r="C4" s="12">
        <v>23456</v>
      </c>
      <c r="D4" s="13">
        <v>20000</v>
      </c>
      <c r="E4" s="12" t="str">
        <f t="shared" si="0"/>
        <v>ANALISIS DE COMITÉ</v>
      </c>
    </row>
    <row r="5" spans="1:5" x14ac:dyDescent="0.25">
      <c r="A5" s="12">
        <v>234564</v>
      </c>
      <c r="B5" s="12" t="s">
        <v>37</v>
      </c>
      <c r="C5" s="12">
        <v>15678</v>
      </c>
      <c r="D5" s="13">
        <v>12456</v>
      </c>
      <c r="E5" s="12" t="str">
        <f t="shared" si="0"/>
        <v>CREDITO DENEGADO</v>
      </c>
    </row>
    <row r="6" spans="1:5" x14ac:dyDescent="0.25">
      <c r="A6" s="12">
        <v>234567</v>
      </c>
      <c r="B6" s="12" t="s">
        <v>38</v>
      </c>
      <c r="C6" s="12">
        <v>12345</v>
      </c>
      <c r="D6" s="13">
        <v>14567</v>
      </c>
      <c r="E6" s="12" t="str">
        <f t="shared" si="0"/>
        <v>CREDITO DENEGADO</v>
      </c>
    </row>
    <row r="7" spans="1:5" x14ac:dyDescent="0.25">
      <c r="A7" s="12">
        <v>123456</v>
      </c>
      <c r="B7" s="12" t="s">
        <v>39</v>
      </c>
      <c r="C7" s="12">
        <v>12789</v>
      </c>
      <c r="D7" s="13">
        <v>12345</v>
      </c>
      <c r="E7" s="12" t="str">
        <f t="shared" si="0"/>
        <v>CREDITO DENEGADO</v>
      </c>
    </row>
    <row r="8" spans="1:5" x14ac:dyDescent="0.25">
      <c r="A8" s="12">
        <v>123456</v>
      </c>
      <c r="B8" s="12" t="s">
        <v>40</v>
      </c>
      <c r="C8" s="12">
        <v>12343</v>
      </c>
      <c r="D8" s="13">
        <v>12345</v>
      </c>
      <c r="E8" s="12" t="str">
        <f t="shared" si="0"/>
        <v>CREDITO DENEGADO</v>
      </c>
    </row>
    <row r="9" spans="1:5" x14ac:dyDescent="0.25">
      <c r="A9" s="12">
        <v>123456</v>
      </c>
      <c r="B9" s="12" t="s">
        <v>41</v>
      </c>
      <c r="C9" s="12">
        <v>12345</v>
      </c>
      <c r="D9" s="13">
        <v>12567</v>
      </c>
      <c r="E9" s="12" t="str">
        <f t="shared" si="0"/>
        <v>CREDITO DENEGADO</v>
      </c>
    </row>
    <row r="10" spans="1:5" x14ac:dyDescent="0.25">
      <c r="A10" s="12">
        <v>345678</v>
      </c>
      <c r="B10" s="12" t="s">
        <v>42</v>
      </c>
      <c r="C10" s="12">
        <v>23456</v>
      </c>
      <c r="D10" s="13">
        <v>11345</v>
      </c>
      <c r="E10" s="12" t="str">
        <f t="shared" si="0"/>
        <v>CREDITO DENEGADO</v>
      </c>
    </row>
    <row r="11" spans="1:5" x14ac:dyDescent="0.25">
      <c r="A11" s="12">
        <v>567898</v>
      </c>
      <c r="B11" s="12" t="s">
        <v>43</v>
      </c>
      <c r="C11" s="12">
        <v>34567</v>
      </c>
      <c r="D11" s="13">
        <v>12567</v>
      </c>
      <c r="E11" s="12" t="str">
        <f t="shared" si="0"/>
        <v>CREDITO DENEGADO</v>
      </c>
    </row>
    <row r="12" spans="1:5" x14ac:dyDescent="0.25">
      <c r="A12" s="12">
        <v>345678</v>
      </c>
      <c r="B12" s="12" t="s">
        <v>44</v>
      </c>
      <c r="C12" s="12">
        <v>25678</v>
      </c>
      <c r="D12" s="13">
        <v>14789</v>
      </c>
      <c r="E12" s="12" t="str">
        <f t="shared" si="0"/>
        <v>CREDITO DENEGADO</v>
      </c>
    </row>
    <row r="13" spans="1:5" x14ac:dyDescent="0.25">
      <c r="A13" s="12">
        <v>345678</v>
      </c>
      <c r="B13" s="12" t="s">
        <v>45</v>
      </c>
      <c r="C13" s="12">
        <v>34567</v>
      </c>
      <c r="D13" s="13">
        <v>12356</v>
      </c>
      <c r="E13" s="12" t="str">
        <f t="shared" si="0"/>
        <v>CREDITO DENEGADO</v>
      </c>
    </row>
    <row r="14" spans="1:5" x14ac:dyDescent="0.25">
      <c r="A14" s="12">
        <v>345678</v>
      </c>
      <c r="B14" s="12" t="s">
        <v>46</v>
      </c>
      <c r="C14" s="12">
        <v>13456</v>
      </c>
      <c r="D14" s="13">
        <v>12456</v>
      </c>
      <c r="E14" s="12" t="str">
        <f t="shared" si="0"/>
        <v>CREDITO DENEGADO</v>
      </c>
    </row>
    <row r="15" spans="1:5" x14ac:dyDescent="0.25">
      <c r="A15" s="12">
        <v>345677</v>
      </c>
      <c r="B15" s="12" t="s">
        <v>47</v>
      </c>
      <c r="C15" s="12">
        <v>27892</v>
      </c>
      <c r="D15" s="13">
        <v>12345</v>
      </c>
      <c r="E15" s="12" t="str">
        <f t="shared" si="0"/>
        <v>CREDITO DENEGADO</v>
      </c>
    </row>
    <row r="16" spans="1:5" x14ac:dyDescent="0.25">
      <c r="A16" s="12">
        <v>164865</v>
      </c>
      <c r="B16" s="12" t="s">
        <v>48</v>
      </c>
      <c r="C16" s="12">
        <v>123456</v>
      </c>
      <c r="D16" s="13">
        <v>17898</v>
      </c>
      <c r="E16" s="12" t="str">
        <f t="shared" si="0"/>
        <v>ANALISIS DE COMITÉ</v>
      </c>
    </row>
    <row r="1048576" spans="2:2" x14ac:dyDescent="0.25">
      <c r="B1048576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366B-7651-4530-AAB6-7A7D64C587B3}">
  <dimension ref="A1:F21"/>
  <sheetViews>
    <sheetView workbookViewId="0">
      <selection activeCell="C27" sqref="C27"/>
    </sheetView>
  </sheetViews>
  <sheetFormatPr baseColWidth="10" defaultRowHeight="15" x14ac:dyDescent="0.25"/>
  <cols>
    <col min="1" max="1" width="14.28515625" customWidth="1"/>
    <col min="3" max="3" width="21.5703125" customWidth="1"/>
    <col min="4" max="4" width="20.7109375" customWidth="1"/>
    <col min="5" max="5" width="22.85546875" customWidth="1"/>
    <col min="6" max="6" width="37.42578125" customWidth="1"/>
  </cols>
  <sheetData>
    <row r="1" spans="1:6" x14ac:dyDescent="0.25">
      <c r="A1" s="1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3" t="s">
        <v>54</v>
      </c>
    </row>
    <row r="2" spans="1:6" x14ac:dyDescent="0.25">
      <c r="A2" s="14">
        <v>34678</v>
      </c>
      <c r="B2" s="5" t="s">
        <v>55</v>
      </c>
      <c r="C2" s="12" t="s">
        <v>75</v>
      </c>
      <c r="D2" s="5">
        <v>2</v>
      </c>
      <c r="E2" s="12">
        <v>12</v>
      </c>
      <c r="F2" s="7" t="str">
        <f>IF(AND(D2&gt;=10,E2&gt;=24),"FORMATEAR Y BAJA SISTEMA",IF(OR(D2&gt;=5,E2&gt;=12),"AUDITORIAS DE CONTRASEÑAS URGENTE","SERVIDOR SEGURO"))</f>
        <v>AUDITORIAS DE CONTRASEÑAS URGENTE</v>
      </c>
    </row>
    <row r="3" spans="1:6" x14ac:dyDescent="0.25">
      <c r="A3" s="14">
        <v>53647</v>
      </c>
      <c r="B3" s="5" t="s">
        <v>56</v>
      </c>
      <c r="C3" s="12" t="s">
        <v>76</v>
      </c>
      <c r="D3" s="5">
        <v>23</v>
      </c>
      <c r="E3" s="12">
        <v>12</v>
      </c>
      <c r="F3" s="7" t="str">
        <f t="shared" ref="F3:F21" si="0">IF(AND(D3&gt;=10,E3&gt;=24),"FORMATEAR Y BAJA SISTEMA",IF(OR(D3&gt;=5,E3&gt;=12),"AUDITORIAS DE CONTRASEÑAS URGENTE","SERVIDOR SEGURO"))</f>
        <v>AUDITORIAS DE CONTRASEÑAS URGENTE</v>
      </c>
    </row>
    <row r="4" spans="1:6" x14ac:dyDescent="0.25">
      <c r="A4" s="14">
        <v>64736</v>
      </c>
      <c r="B4" s="5" t="s">
        <v>57</v>
      </c>
      <c r="C4" s="12" t="s">
        <v>75</v>
      </c>
      <c r="D4" s="5">
        <v>2</v>
      </c>
      <c r="E4" s="12">
        <v>11</v>
      </c>
      <c r="F4" s="7" t="str">
        <f t="shared" si="0"/>
        <v>SERVIDOR SEGURO</v>
      </c>
    </row>
    <row r="5" spans="1:6" x14ac:dyDescent="0.25">
      <c r="A5" s="14">
        <v>36746</v>
      </c>
      <c r="B5" s="5" t="s">
        <v>58</v>
      </c>
      <c r="C5" s="12" t="s">
        <v>75</v>
      </c>
      <c r="D5" s="5">
        <v>3</v>
      </c>
      <c r="E5" s="12">
        <v>13</v>
      </c>
      <c r="F5" s="7" t="str">
        <f t="shared" si="0"/>
        <v>AUDITORIAS DE CONTRASEÑAS URGENTE</v>
      </c>
    </row>
    <row r="6" spans="1:6" x14ac:dyDescent="0.25">
      <c r="A6" s="14">
        <v>47645</v>
      </c>
      <c r="B6" s="5" t="s">
        <v>59</v>
      </c>
      <c r="C6" s="12" t="s">
        <v>76</v>
      </c>
      <c r="D6" s="5">
        <v>4</v>
      </c>
      <c r="E6" s="12">
        <v>14</v>
      </c>
      <c r="F6" s="7" t="str">
        <f t="shared" si="0"/>
        <v>AUDITORIAS DE CONTRASEÑAS URGENTE</v>
      </c>
    </row>
    <row r="7" spans="1:6" x14ac:dyDescent="0.25">
      <c r="A7" s="14">
        <v>87465</v>
      </c>
      <c r="B7" s="5" t="s">
        <v>60</v>
      </c>
      <c r="C7" s="12" t="s">
        <v>76</v>
      </c>
      <c r="D7" s="5">
        <v>5</v>
      </c>
      <c r="E7" s="12">
        <v>3</v>
      </c>
      <c r="F7" s="7" t="str">
        <f t="shared" si="0"/>
        <v>AUDITORIAS DE CONTRASEÑAS URGENTE</v>
      </c>
    </row>
    <row r="8" spans="1:6" x14ac:dyDescent="0.25">
      <c r="A8" s="14">
        <v>75658</v>
      </c>
      <c r="B8" s="5" t="s">
        <v>61</v>
      </c>
      <c r="C8" s="12" t="s">
        <v>75</v>
      </c>
      <c r="D8" s="5">
        <v>6</v>
      </c>
      <c r="E8" s="12">
        <v>4</v>
      </c>
      <c r="F8" s="7" t="str">
        <f t="shared" si="0"/>
        <v>AUDITORIAS DE CONTRASEÑAS URGENTE</v>
      </c>
    </row>
    <row r="9" spans="1:6" x14ac:dyDescent="0.25">
      <c r="A9" s="14">
        <v>76453</v>
      </c>
      <c r="B9" s="5" t="s">
        <v>62</v>
      </c>
      <c r="C9" s="12" t="s">
        <v>76</v>
      </c>
      <c r="D9" s="5">
        <v>7</v>
      </c>
      <c r="E9" s="12">
        <v>5</v>
      </c>
      <c r="F9" s="7" t="str">
        <f t="shared" si="0"/>
        <v>AUDITORIAS DE CONTRASEÑAS URGENTE</v>
      </c>
    </row>
    <row r="10" spans="1:6" x14ac:dyDescent="0.25">
      <c r="A10" s="14">
        <v>74583</v>
      </c>
      <c r="B10" s="5" t="s">
        <v>63</v>
      </c>
      <c r="C10" s="12" t="s">
        <v>75</v>
      </c>
      <c r="D10" s="5">
        <v>8</v>
      </c>
      <c r="E10" s="12">
        <v>6</v>
      </c>
      <c r="F10" s="7" t="str">
        <f t="shared" si="0"/>
        <v>AUDITORIAS DE CONTRASEÑAS URGENTE</v>
      </c>
    </row>
    <row r="11" spans="1:6" x14ac:dyDescent="0.25">
      <c r="A11" s="14">
        <v>66587</v>
      </c>
      <c r="B11" s="5" t="s">
        <v>64</v>
      </c>
      <c r="C11" s="12" t="s">
        <v>75</v>
      </c>
      <c r="D11" s="5">
        <v>9</v>
      </c>
      <c r="E11" s="12">
        <v>7</v>
      </c>
      <c r="F11" s="7" t="str">
        <f t="shared" si="0"/>
        <v>AUDITORIAS DE CONTRASEÑAS URGENTE</v>
      </c>
    </row>
    <row r="12" spans="1:6" x14ac:dyDescent="0.25">
      <c r="A12" s="14">
        <v>76438</v>
      </c>
      <c r="B12" s="5" t="s">
        <v>65</v>
      </c>
      <c r="C12" s="12" t="s">
        <v>76</v>
      </c>
      <c r="D12" s="5">
        <v>3</v>
      </c>
      <c r="E12" s="12">
        <v>8</v>
      </c>
      <c r="F12" s="7" t="str">
        <f t="shared" si="0"/>
        <v>SERVIDOR SEGURO</v>
      </c>
    </row>
    <row r="13" spans="1:6" x14ac:dyDescent="0.25">
      <c r="A13" s="14">
        <v>87563</v>
      </c>
      <c r="B13" s="5" t="s">
        <v>66</v>
      </c>
      <c r="C13" s="12" t="s">
        <v>76</v>
      </c>
      <c r="D13" s="5">
        <v>4</v>
      </c>
      <c r="E13" s="12">
        <v>9</v>
      </c>
      <c r="F13" s="7" t="str">
        <f t="shared" si="0"/>
        <v>SERVIDOR SEGURO</v>
      </c>
    </row>
    <row r="14" spans="1:6" x14ac:dyDescent="0.25">
      <c r="A14" s="14">
        <v>75648</v>
      </c>
      <c r="B14" s="5" t="s">
        <v>67</v>
      </c>
      <c r="C14" s="12" t="s">
        <v>76</v>
      </c>
      <c r="D14" s="5">
        <v>5</v>
      </c>
      <c r="E14" s="12">
        <v>2</v>
      </c>
      <c r="F14" s="7" t="str">
        <f t="shared" si="0"/>
        <v>AUDITORIAS DE CONTRASEÑAS URGENTE</v>
      </c>
    </row>
    <row r="15" spans="1:6" x14ac:dyDescent="0.25">
      <c r="A15" s="14">
        <v>45658</v>
      </c>
      <c r="B15" s="5" t="s">
        <v>68</v>
      </c>
      <c r="C15" s="12" t="s">
        <v>76</v>
      </c>
      <c r="D15" s="5">
        <v>6</v>
      </c>
      <c r="E15" s="12">
        <v>3</v>
      </c>
      <c r="F15" s="7" t="str">
        <f t="shared" si="0"/>
        <v>AUDITORIAS DE CONTRASEÑAS URGENTE</v>
      </c>
    </row>
    <row r="16" spans="1:6" x14ac:dyDescent="0.25">
      <c r="A16" s="14">
        <v>87547</v>
      </c>
      <c r="B16" s="5" t="s">
        <v>69</v>
      </c>
      <c r="C16" s="12" t="s">
        <v>75</v>
      </c>
      <c r="D16" s="5">
        <v>3</v>
      </c>
      <c r="E16" s="12">
        <v>4</v>
      </c>
      <c r="F16" s="7" t="str">
        <f t="shared" si="0"/>
        <v>SERVIDOR SEGURO</v>
      </c>
    </row>
    <row r="17" spans="1:6" x14ac:dyDescent="0.25">
      <c r="A17" s="14">
        <v>76483</v>
      </c>
      <c r="B17" s="5" t="s">
        <v>70</v>
      </c>
      <c r="C17" s="12" t="s">
        <v>75</v>
      </c>
      <c r="D17" s="5">
        <v>4</v>
      </c>
      <c r="E17" s="12">
        <v>5</v>
      </c>
      <c r="F17" s="7" t="str">
        <f t="shared" si="0"/>
        <v>SERVIDOR SEGURO</v>
      </c>
    </row>
    <row r="18" spans="1:6" x14ac:dyDescent="0.25">
      <c r="A18" s="14">
        <v>86759</v>
      </c>
      <c r="B18" s="5" t="s">
        <v>71</v>
      </c>
      <c r="C18" s="12" t="s">
        <v>75</v>
      </c>
      <c r="D18" s="5">
        <v>5</v>
      </c>
      <c r="E18" s="12">
        <v>6</v>
      </c>
      <c r="F18" s="7" t="str">
        <f t="shared" si="0"/>
        <v>AUDITORIAS DE CONTRASEÑAS URGENTE</v>
      </c>
    </row>
    <row r="19" spans="1:6" x14ac:dyDescent="0.25">
      <c r="A19" s="14">
        <v>46573</v>
      </c>
      <c r="B19" s="5" t="s">
        <v>72</v>
      </c>
      <c r="C19" s="12" t="s">
        <v>76</v>
      </c>
      <c r="D19" s="5">
        <v>7</v>
      </c>
      <c r="E19" s="12">
        <v>7</v>
      </c>
      <c r="F19" s="7" t="str">
        <f t="shared" si="0"/>
        <v>AUDITORIAS DE CONTRASEÑAS URGENTE</v>
      </c>
    </row>
    <row r="20" spans="1:6" x14ac:dyDescent="0.25">
      <c r="A20" s="14">
        <v>76854</v>
      </c>
      <c r="B20" s="5" t="s">
        <v>73</v>
      </c>
      <c r="C20" s="12" t="s">
        <v>76</v>
      </c>
      <c r="D20" s="5">
        <v>8</v>
      </c>
      <c r="E20" s="12">
        <v>6</v>
      </c>
      <c r="F20" s="7" t="str">
        <f t="shared" si="0"/>
        <v>AUDITORIAS DE CONTRASEÑAS URGENTE</v>
      </c>
    </row>
    <row r="21" spans="1:6" x14ac:dyDescent="0.25">
      <c r="A21" s="15">
        <v>85769</v>
      </c>
      <c r="B21" s="9" t="s">
        <v>74</v>
      </c>
      <c r="C21" s="16" t="s">
        <v>76</v>
      </c>
      <c r="D21" s="9">
        <v>2</v>
      </c>
      <c r="E21" s="16">
        <v>8</v>
      </c>
      <c r="F21" s="11" t="str">
        <f t="shared" si="0"/>
        <v>SERVIDOR SEGURO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14DE-5471-4C79-921F-07F0B753F540}">
  <dimension ref="A1:D21"/>
  <sheetViews>
    <sheetView tabSelected="1" workbookViewId="0">
      <selection activeCell="C26" sqref="C26"/>
    </sheetView>
  </sheetViews>
  <sheetFormatPr baseColWidth="10" defaultRowHeight="15" x14ac:dyDescent="0.25"/>
  <cols>
    <col min="2" max="2" width="24.42578125" customWidth="1"/>
    <col min="3" max="3" width="23.85546875" customWidth="1"/>
    <col min="4" max="4" width="21.28515625" customWidth="1"/>
  </cols>
  <sheetData>
    <row r="1" spans="1:4" x14ac:dyDescent="0.25">
      <c r="A1" t="s">
        <v>77</v>
      </c>
      <c r="B1" t="s">
        <v>80</v>
      </c>
      <c r="C1" t="s">
        <v>78</v>
      </c>
      <c r="D1" t="s">
        <v>79</v>
      </c>
    </row>
    <row r="2" spans="1:4" x14ac:dyDescent="0.25">
      <c r="A2" s="12">
        <v>123456</v>
      </c>
      <c r="B2" s="12" t="s">
        <v>83</v>
      </c>
      <c r="C2" s="12" t="s">
        <v>82</v>
      </c>
      <c r="D2" s="12">
        <f>VLOOKUP(C2,Tabla4[],2,FALSE)</f>
        <v>0.05</v>
      </c>
    </row>
    <row r="3" spans="1:4" x14ac:dyDescent="0.25">
      <c r="A3" s="12">
        <v>234567</v>
      </c>
      <c r="B3" s="12" t="s">
        <v>84</v>
      </c>
      <c r="C3" s="12" t="s">
        <v>82</v>
      </c>
      <c r="D3" s="12">
        <f>VLOOKUP(C3,Tabla4[],2,FALSE)</f>
        <v>0.05</v>
      </c>
    </row>
    <row r="4" spans="1:4" x14ac:dyDescent="0.25">
      <c r="A4" s="12">
        <v>234567</v>
      </c>
      <c r="B4" s="12" t="s">
        <v>85</v>
      </c>
      <c r="C4" s="12" t="s">
        <v>82</v>
      </c>
      <c r="D4" s="12">
        <f>VLOOKUP(C4,Tabla4[],2,FALSE)</f>
        <v>0.05</v>
      </c>
    </row>
    <row r="5" spans="1:4" x14ac:dyDescent="0.25">
      <c r="A5" s="12">
        <v>123456</v>
      </c>
      <c r="B5" s="12" t="s">
        <v>86</v>
      </c>
      <c r="C5" s="12" t="s">
        <v>82</v>
      </c>
      <c r="D5" s="12">
        <f>VLOOKUP(C5,Tabla4[],2,FALSE)</f>
        <v>0.05</v>
      </c>
    </row>
    <row r="6" spans="1:4" x14ac:dyDescent="0.25">
      <c r="A6" s="12">
        <v>234567</v>
      </c>
      <c r="B6" s="12" t="s">
        <v>87</v>
      </c>
      <c r="C6" s="12" t="s">
        <v>81</v>
      </c>
      <c r="D6" s="12">
        <f>VLOOKUP(C6,Tabla4[],2,FALSE)</f>
        <v>0.12</v>
      </c>
    </row>
    <row r="7" spans="1:4" x14ac:dyDescent="0.25">
      <c r="A7" s="12">
        <v>234567</v>
      </c>
      <c r="B7" s="12" t="s">
        <v>88</v>
      </c>
      <c r="C7" s="12" t="s">
        <v>81</v>
      </c>
      <c r="D7" s="12">
        <f>VLOOKUP(C7,Tabla4[],2,FALSE)</f>
        <v>0.12</v>
      </c>
    </row>
    <row r="8" spans="1:4" x14ac:dyDescent="0.25">
      <c r="A8" s="12">
        <v>456789</v>
      </c>
      <c r="B8" s="12" t="s">
        <v>89</v>
      </c>
      <c r="C8" s="12" t="s">
        <v>82</v>
      </c>
      <c r="D8" s="12">
        <f>VLOOKUP(C8,Tabla4[],2,FALSE)</f>
        <v>0.05</v>
      </c>
    </row>
    <row r="9" spans="1:4" x14ac:dyDescent="0.25">
      <c r="A9" s="12">
        <v>234612</v>
      </c>
      <c r="B9" s="12" t="s">
        <v>90</v>
      </c>
      <c r="C9" s="12" t="s">
        <v>82</v>
      </c>
      <c r="D9" s="12">
        <f>VLOOKUP(C9,Tabla4[],2,FALSE)</f>
        <v>0.05</v>
      </c>
    </row>
    <row r="10" spans="1:4" x14ac:dyDescent="0.25">
      <c r="A10" s="12">
        <v>236543</v>
      </c>
      <c r="B10" s="12" t="s">
        <v>91</v>
      </c>
      <c r="C10" s="12" t="s">
        <v>82</v>
      </c>
      <c r="D10" s="12">
        <f>VLOOKUP(C10,Tabla4[],2,FALSE)</f>
        <v>0.05</v>
      </c>
    </row>
    <row r="11" spans="1:4" x14ac:dyDescent="0.25">
      <c r="A11" s="12">
        <v>135783</v>
      </c>
      <c r="B11" s="12" t="s">
        <v>92</v>
      </c>
      <c r="C11" s="12" t="s">
        <v>81</v>
      </c>
      <c r="D11" s="12">
        <f>VLOOKUP(C11,Tabla4[],2,FALSE)</f>
        <v>0.12</v>
      </c>
    </row>
    <row r="12" spans="1:4" x14ac:dyDescent="0.25">
      <c r="A12" s="12">
        <v>125789</v>
      </c>
      <c r="B12" s="12" t="s">
        <v>93</v>
      </c>
      <c r="C12" s="12" t="s">
        <v>81</v>
      </c>
      <c r="D12" s="12">
        <f>VLOOKUP(C12,Tabla4[],2,FALSE)</f>
        <v>0.12</v>
      </c>
    </row>
    <row r="13" spans="1:4" x14ac:dyDescent="0.25">
      <c r="A13" s="12">
        <v>236781</v>
      </c>
      <c r="B13" s="12" t="s">
        <v>94</v>
      </c>
      <c r="C13" s="12" t="s">
        <v>82</v>
      </c>
      <c r="D13" s="12">
        <f>VLOOKUP(C13,Tabla4[],2,FALSE)</f>
        <v>0.05</v>
      </c>
    </row>
    <row r="14" spans="1:4" x14ac:dyDescent="0.25">
      <c r="A14" s="12">
        <v>124689</v>
      </c>
      <c r="B14" s="12" t="s">
        <v>95</v>
      </c>
      <c r="C14" s="12" t="s">
        <v>82</v>
      </c>
      <c r="D14" s="12">
        <f>VLOOKUP(C14,Tabla4[],2,FALSE)</f>
        <v>0.05</v>
      </c>
    </row>
    <row r="15" spans="1:4" x14ac:dyDescent="0.25">
      <c r="A15" s="12">
        <v>126478</v>
      </c>
      <c r="B15" s="12" t="s">
        <v>87</v>
      </c>
      <c r="C15" s="12" t="s">
        <v>82</v>
      </c>
      <c r="D15" s="12">
        <f>VLOOKUP(C15,Tabla4[],2,FALSE)</f>
        <v>0.05</v>
      </c>
    </row>
    <row r="16" spans="1:4" x14ac:dyDescent="0.25">
      <c r="A16" s="12">
        <v>345674</v>
      </c>
      <c r="B16" s="12" t="s">
        <v>96</v>
      </c>
      <c r="C16" s="12" t="s">
        <v>98</v>
      </c>
      <c r="D16" s="12">
        <f>VLOOKUP(C16,Tabla4[],2,FALSE)</f>
        <v>0.15</v>
      </c>
    </row>
    <row r="17" spans="1:4" x14ac:dyDescent="0.25">
      <c r="A17" s="12">
        <v>123568</v>
      </c>
      <c r="B17" s="12" t="s">
        <v>97</v>
      </c>
      <c r="C17" s="12" t="s">
        <v>98</v>
      </c>
      <c r="D17" s="12">
        <f>VLOOKUP(C17,Tabla4[],2,FALSE)</f>
        <v>0.15</v>
      </c>
    </row>
    <row r="18" spans="1:4" x14ac:dyDescent="0.25">
      <c r="A18" s="12">
        <v>246894</v>
      </c>
      <c r="B18" s="12" t="s">
        <v>99</v>
      </c>
      <c r="C18" s="12" t="s">
        <v>101</v>
      </c>
      <c r="D18" s="12">
        <f>VLOOKUP(C18,Tabla4[],2,FALSE)</f>
        <v>0.08</v>
      </c>
    </row>
    <row r="19" spans="1:4" x14ac:dyDescent="0.25">
      <c r="A19" s="12">
        <v>236892</v>
      </c>
      <c r="B19" s="12" t="s">
        <v>76</v>
      </c>
      <c r="C19" s="12" t="s">
        <v>101</v>
      </c>
      <c r="D19" s="12">
        <f>VLOOKUP(C19,Tabla4[],2,FALSE)</f>
        <v>0.08</v>
      </c>
    </row>
    <row r="20" spans="1:4" x14ac:dyDescent="0.25">
      <c r="A20" s="12">
        <v>123684</v>
      </c>
      <c r="B20" s="12" t="s">
        <v>100</v>
      </c>
      <c r="C20" s="12" t="s">
        <v>101</v>
      </c>
      <c r="D20" s="12">
        <f>VLOOKUP(C20,Tabla4[],2,FALSE)</f>
        <v>0.08</v>
      </c>
    </row>
    <row r="21" spans="1:4" x14ac:dyDescent="0.25">
      <c r="A21" s="12">
        <v>123456</v>
      </c>
      <c r="B21" s="12" t="s">
        <v>95</v>
      </c>
      <c r="C21" s="12" t="s">
        <v>82</v>
      </c>
      <c r="D21" s="12">
        <f>VLOOKUP(C21,Tabla4[],2,FALSE)</f>
        <v>0.05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60E7-620D-4014-BF79-A122D98B8C7F}">
  <dimension ref="A1:B5"/>
  <sheetViews>
    <sheetView workbookViewId="0">
      <selection activeCell="B36" sqref="B35:B36"/>
    </sheetView>
  </sheetViews>
  <sheetFormatPr baseColWidth="10" defaultRowHeight="15" x14ac:dyDescent="0.25"/>
  <cols>
    <col min="1" max="1" width="26.5703125" customWidth="1"/>
    <col min="2" max="2" width="21.140625" customWidth="1"/>
  </cols>
  <sheetData>
    <row r="1" spans="1:2" x14ac:dyDescent="0.25">
      <c r="A1" t="s">
        <v>102</v>
      </c>
      <c r="B1" t="s">
        <v>103</v>
      </c>
    </row>
    <row r="2" spans="1:2" x14ac:dyDescent="0.25">
      <c r="A2" t="s">
        <v>82</v>
      </c>
      <c r="B2" s="17">
        <v>0.05</v>
      </c>
    </row>
    <row r="3" spans="1:2" x14ac:dyDescent="0.25">
      <c r="A3" t="s">
        <v>81</v>
      </c>
      <c r="B3" s="17">
        <v>0.12</v>
      </c>
    </row>
    <row r="4" spans="1:2" x14ac:dyDescent="0.25">
      <c r="A4" t="s">
        <v>98</v>
      </c>
      <c r="B4" s="17">
        <v>0.15</v>
      </c>
    </row>
    <row r="5" spans="1:2" x14ac:dyDescent="0.25">
      <c r="A5" t="s">
        <v>101</v>
      </c>
      <c r="B5" s="17">
        <v>0.08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2026-05-21T14:01:29Z</dcterms:created>
  <dcterms:modified xsi:type="dcterms:W3CDTF">2026-05-21T17:01:56Z</dcterms:modified>
</cp:coreProperties>
</file>