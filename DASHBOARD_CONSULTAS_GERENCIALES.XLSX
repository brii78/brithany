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929F568F-8A80-4915-B230-6840BCDD3EE0}" xr6:coauthVersionLast="47" xr6:coauthVersionMax="47" xr10:uidLastSave="{00000000-0000-0000-0000-000000000000}"/>
  <bookViews>
    <workbookView xWindow="-120" yWindow="-120" windowWidth="19440" windowHeight="15000" xr2:uid="{8C42F1C2-1045-4259-A4EA-BB86D109DE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5" i="1"/>
  <c r="I3" i="1"/>
</calcChain>
</file>

<file path=xl/sharedStrings.xml><?xml version="1.0" encoding="utf-8"?>
<sst xmlns="http://schemas.openxmlformats.org/spreadsheetml/2006/main" count="68" uniqueCount="59">
  <si>
    <t>CODIGO CLIENTE</t>
  </si>
  <si>
    <t>NOMBRTE EMPRESA</t>
  </si>
  <si>
    <t>TELEFONO</t>
  </si>
  <si>
    <t>CORREO</t>
  </si>
  <si>
    <t>REPRESENTANTE LEGAL</t>
  </si>
  <si>
    <t>SALDO PENDIENTE</t>
  </si>
  <si>
    <t>BIMBO</t>
  </si>
  <si>
    <t>CLARO</t>
  </si>
  <si>
    <t>MOVISTAR</t>
  </si>
  <si>
    <t>TIGO</t>
  </si>
  <si>
    <t>VICTORIASECRET</t>
  </si>
  <si>
    <t>BATYBODYWORKS</t>
  </si>
  <si>
    <t>TOTTO</t>
  </si>
  <si>
    <t>BMW</t>
  </si>
  <si>
    <t>LAMBORGINNY</t>
  </si>
  <si>
    <t>RJ4</t>
  </si>
  <si>
    <t>SAMSUNG</t>
  </si>
  <si>
    <t>GT</t>
  </si>
  <si>
    <t>PAIZ</t>
  </si>
  <si>
    <t>DESPENSA FAMILIAR</t>
  </si>
  <si>
    <t>PIZZA HOT</t>
  </si>
  <si>
    <t>CAMPERO</t>
  </si>
  <si>
    <t>MAC DONALS</t>
  </si>
  <si>
    <t>MARIA@GMAIL.COM</t>
  </si>
  <si>
    <t>JUAN@GMAIL.COM</t>
  </si>
  <si>
    <t>PEDRO@GMAIL.COM</t>
  </si>
  <si>
    <t>ANNA@GMAIL.COM</t>
  </si>
  <si>
    <t>LUCIA@GMAIL.COM</t>
  </si>
  <si>
    <t>CELESTE@GMAIL.COM</t>
  </si>
  <si>
    <t>MAR@GMAIL.COM</t>
  </si>
  <si>
    <t>CAR@GMAIL.COM</t>
  </si>
  <si>
    <t>ABON@GMAIL.COM</t>
  </si>
  <si>
    <t>FELIX@GMAIL.COM</t>
  </si>
  <si>
    <t>LUZ@GMAIL.COM</t>
  </si>
  <si>
    <t>DORA2MAIL.COM</t>
  </si>
  <si>
    <t>DER@GMAIL.COM</t>
  </si>
  <si>
    <t>DARI89A@GMAIL.COM</t>
  </si>
  <si>
    <t>WENDY</t>
  </si>
  <si>
    <t>LOLA</t>
  </si>
  <si>
    <t>LUZ</t>
  </si>
  <si>
    <t>ANNA</t>
  </si>
  <si>
    <t>JUAN</t>
  </si>
  <si>
    <t>KEVIN</t>
  </si>
  <si>
    <t>LIZ</t>
  </si>
  <si>
    <t>GUS</t>
  </si>
  <si>
    <t>MARIO</t>
  </si>
  <si>
    <t>LUIS</t>
  </si>
  <si>
    <t>PEDRFO</t>
  </si>
  <si>
    <t>SAFIA</t>
  </si>
  <si>
    <t>CORI</t>
  </si>
  <si>
    <t>GUSTAVO</t>
  </si>
  <si>
    <t>DARIO</t>
  </si>
  <si>
    <t>BERENICE</t>
  </si>
  <si>
    <t>SANTIAGO</t>
  </si>
  <si>
    <t>SULMA</t>
  </si>
  <si>
    <t>DESTER@GMAIL.COM</t>
  </si>
  <si>
    <t>MARIJU@GMAIL.COM</t>
  </si>
  <si>
    <t>COLUMNA1</t>
  </si>
  <si>
    <t>NOMBRE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</si>
</sst>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D9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B1715-F4A0-4C51-B629-D7EE05A19937}" name="Tabla1" displayName="Tabla1" ref="A1:F21" totalsRowShown="0">
  <autoFilter ref="A1:F21" xr:uid="{7FDB1715-F4A0-4C51-B629-D7EE05A19937}"/>
  <tableColumns count="6">
    <tableColumn id="1" xr3:uid="{94F80C2A-C96C-4B68-AEC8-B58BCF3E097B}" name="CODIGO CLIENTE"/>
    <tableColumn id="2" xr3:uid="{21D2B4D3-03CE-4B27-996C-DF60F50DFD1B}" name="NOMBRTE EMPRESA"/>
    <tableColumn id="3" xr3:uid="{5AB231B7-EE0E-4259-B19D-62862214B3CC}" name="TELEFONO"/>
    <tableColumn id="4" xr3:uid="{E84A5D97-0F75-4370-A835-627E430912F4}" name="CORREO" dataCellStyle="Hipervínculo"/>
    <tableColumn id="5" xr3:uid="{A61A5F73-D3A4-4B4A-85FF-407DF05C99CE}" name="REPRESENTANTE LEGAL"/>
    <tableColumn id="6" xr3:uid="{D7B97ED7-D3A4-4DAE-B14E-CD60E3F31F60}" name="SALDO PEND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@GMAIL.COM" TargetMode="External"/><Relationship Id="rId13" Type="http://schemas.openxmlformats.org/officeDocument/2006/relationships/hyperlink" Target="mailto:LUZ@GMAIL.COM" TargetMode="External"/><Relationship Id="rId18" Type="http://schemas.openxmlformats.org/officeDocument/2006/relationships/hyperlink" Target="mailto:MARIJU@GMAIL.COM" TargetMode="External"/><Relationship Id="rId3" Type="http://schemas.openxmlformats.org/officeDocument/2006/relationships/hyperlink" Target="mailto:PEDRO@GMAIL.COM" TargetMode="External"/><Relationship Id="rId7" Type="http://schemas.openxmlformats.org/officeDocument/2006/relationships/hyperlink" Target="mailto:CELESTE@GMAIL.COM" TargetMode="External"/><Relationship Id="rId12" Type="http://schemas.openxmlformats.org/officeDocument/2006/relationships/hyperlink" Target="mailto:LUZ@GMAIL.COM" TargetMode="External"/><Relationship Id="rId17" Type="http://schemas.openxmlformats.org/officeDocument/2006/relationships/hyperlink" Target="mailto:DESTER@GMAIL.COM" TargetMode="External"/><Relationship Id="rId2" Type="http://schemas.openxmlformats.org/officeDocument/2006/relationships/hyperlink" Target="mailto:MARIA@GMAIL.COM" TargetMode="External"/><Relationship Id="rId16" Type="http://schemas.openxmlformats.org/officeDocument/2006/relationships/hyperlink" Target="mailto:MAR@GMAIL.COM" TargetMode="External"/><Relationship Id="rId1" Type="http://schemas.openxmlformats.org/officeDocument/2006/relationships/hyperlink" Target="mailto:MARIA@GMAIL.COM" TargetMode="External"/><Relationship Id="rId6" Type="http://schemas.openxmlformats.org/officeDocument/2006/relationships/hyperlink" Target="mailto:LUCIA@GMAIL.COM" TargetMode="External"/><Relationship Id="rId11" Type="http://schemas.openxmlformats.org/officeDocument/2006/relationships/hyperlink" Target="mailto:FELIX@GMAIL.COM" TargetMode="External"/><Relationship Id="rId5" Type="http://schemas.openxmlformats.org/officeDocument/2006/relationships/hyperlink" Target="mailto:JUAN@GMAIL.COM" TargetMode="External"/><Relationship Id="rId15" Type="http://schemas.openxmlformats.org/officeDocument/2006/relationships/hyperlink" Target="mailto:DARI89A@GMAIL.COM" TargetMode="External"/><Relationship Id="rId10" Type="http://schemas.openxmlformats.org/officeDocument/2006/relationships/hyperlink" Target="mailto:ABON@GMAIL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ANNA@GMAIL.COM" TargetMode="External"/><Relationship Id="rId9" Type="http://schemas.openxmlformats.org/officeDocument/2006/relationships/hyperlink" Target="mailto:CAR@GMAIL.COM" TargetMode="External"/><Relationship Id="rId14" Type="http://schemas.openxmlformats.org/officeDocument/2006/relationships/hyperlink" Target="mailto: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3B4F-9658-43AE-911A-E8C72B4DE804}">
  <dimension ref="A1:I21"/>
  <sheetViews>
    <sheetView tabSelected="1" workbookViewId="0">
      <selection activeCell="H11" sqref="H11"/>
    </sheetView>
  </sheetViews>
  <sheetFormatPr baseColWidth="10" defaultRowHeight="15" x14ac:dyDescent="0.25"/>
  <cols>
    <col min="1" max="2" width="21" customWidth="1"/>
    <col min="3" max="3" width="12.28515625" customWidth="1"/>
    <col min="4" max="4" width="20.140625" customWidth="1"/>
    <col min="5" max="5" width="23.5703125" customWidth="1"/>
    <col min="6" max="6" width="20.5703125" customWidth="1"/>
    <col min="9" max="9" width="18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 x14ac:dyDescent="0.25">
      <c r="A2">
        <v>3</v>
      </c>
      <c r="B2" t="s">
        <v>6</v>
      </c>
      <c r="C2">
        <v>12345234</v>
      </c>
      <c r="D2" s="1" t="s">
        <v>23</v>
      </c>
      <c r="E2" t="s">
        <v>37</v>
      </c>
      <c r="F2">
        <v>1234</v>
      </c>
    </row>
    <row r="3" spans="1:9" x14ac:dyDescent="0.25">
      <c r="A3">
        <v>23</v>
      </c>
      <c r="B3" t="s">
        <v>7</v>
      </c>
      <c r="C3">
        <v>54323456</v>
      </c>
      <c r="D3" s="1" t="s">
        <v>25</v>
      </c>
      <c r="E3" t="s">
        <v>38</v>
      </c>
      <c r="F3">
        <v>1234</v>
      </c>
      <c r="H3" s="2">
        <v>23</v>
      </c>
      <c r="I3" t="str">
        <f>VLOOKUP(H3,Tabla1[],2,FALSE)</f>
        <v>CLARO</v>
      </c>
    </row>
    <row r="4" spans="1:9" x14ac:dyDescent="0.25">
      <c r="A4">
        <v>45</v>
      </c>
      <c r="B4" t="s">
        <v>8</v>
      </c>
      <c r="C4">
        <v>43578534</v>
      </c>
      <c r="D4" s="1" t="s">
        <v>26</v>
      </c>
      <c r="E4" t="s">
        <v>39</v>
      </c>
      <c r="F4">
        <v>5678</v>
      </c>
    </row>
    <row r="5" spans="1:9" x14ac:dyDescent="0.25">
      <c r="A5">
        <v>6</v>
      </c>
      <c r="B5" t="s">
        <v>9</v>
      </c>
      <c r="C5">
        <v>23415678</v>
      </c>
      <c r="D5" s="1" t="s">
        <v>24</v>
      </c>
      <c r="E5" t="s">
        <v>40</v>
      </c>
      <c r="F5">
        <v>45678</v>
      </c>
      <c r="H5" s="2"/>
      <c r="I5" t="str">
        <f>VLOOKUP(H3,Tabla1[],5,FALSE)</f>
        <v>LOLA</v>
      </c>
    </row>
    <row r="6" spans="1:9" x14ac:dyDescent="0.25">
      <c r="A6">
        <v>7</v>
      </c>
      <c r="B6" t="s">
        <v>10</v>
      </c>
      <c r="C6">
        <v>23456178</v>
      </c>
      <c r="D6" s="1" t="s">
        <v>27</v>
      </c>
      <c r="E6" t="s">
        <v>41</v>
      </c>
      <c r="F6">
        <v>3456</v>
      </c>
    </row>
    <row r="7" spans="1:9" x14ac:dyDescent="0.25">
      <c r="A7">
        <v>87</v>
      </c>
      <c r="B7" t="s">
        <v>11</v>
      </c>
      <c r="C7">
        <v>12578238</v>
      </c>
      <c r="D7" s="1" t="s">
        <v>28</v>
      </c>
      <c r="E7" t="s">
        <v>42</v>
      </c>
      <c r="F7">
        <v>3456</v>
      </c>
      <c r="H7" s="2"/>
      <c r="I7">
        <f>VLOOKUP(H3,Tabla1[],6,FALSE)</f>
        <v>1234</v>
      </c>
    </row>
    <row r="8" spans="1:9" x14ac:dyDescent="0.25">
      <c r="A8">
        <v>67</v>
      </c>
      <c r="B8" t="s">
        <v>12</v>
      </c>
      <c r="C8">
        <v>12573589</v>
      </c>
      <c r="D8" s="1" t="s">
        <v>29</v>
      </c>
      <c r="E8" t="s">
        <v>43</v>
      </c>
      <c r="F8">
        <v>678</v>
      </c>
    </row>
    <row r="9" spans="1:9" x14ac:dyDescent="0.25">
      <c r="A9">
        <v>89</v>
      </c>
      <c r="B9" t="s">
        <v>13</v>
      </c>
      <c r="C9">
        <v>25367456</v>
      </c>
      <c r="D9" s="1" t="s">
        <v>30</v>
      </c>
      <c r="E9" t="s">
        <v>44</v>
      </c>
      <c r="F9">
        <v>5678</v>
      </c>
    </row>
    <row r="10" spans="1:9" x14ac:dyDescent="0.25">
      <c r="A10">
        <v>54</v>
      </c>
      <c r="B10" t="s">
        <v>14</v>
      </c>
      <c r="C10">
        <v>24378564</v>
      </c>
      <c r="D10" s="1" t="s">
        <v>31</v>
      </c>
      <c r="E10" t="s">
        <v>45</v>
      </c>
      <c r="F10">
        <v>34567</v>
      </c>
    </row>
    <row r="11" spans="1:9" x14ac:dyDescent="0.25">
      <c r="A11">
        <v>34</v>
      </c>
      <c r="B11" t="s">
        <v>15</v>
      </c>
      <c r="C11">
        <v>86473214</v>
      </c>
      <c r="D11" s="1" t="s">
        <v>32</v>
      </c>
      <c r="E11" t="s">
        <v>42</v>
      </c>
      <c r="F11">
        <v>45678</v>
      </c>
    </row>
    <row r="12" spans="1:9" x14ac:dyDescent="0.25">
      <c r="A12">
        <v>23</v>
      </c>
      <c r="B12" t="s">
        <v>16</v>
      </c>
      <c r="C12">
        <v>87563923</v>
      </c>
      <c r="D12" s="1" t="s">
        <v>33</v>
      </c>
      <c r="E12" t="s">
        <v>46</v>
      </c>
      <c r="F12">
        <v>45678</v>
      </c>
    </row>
    <row r="13" spans="1:9" x14ac:dyDescent="0.25">
      <c r="A13">
        <v>45</v>
      </c>
      <c r="B13" t="s">
        <v>17</v>
      </c>
      <c r="C13">
        <v>86746378</v>
      </c>
      <c r="D13" s="1" t="s">
        <v>33</v>
      </c>
      <c r="E13" t="s">
        <v>45</v>
      </c>
      <c r="F13">
        <v>345</v>
      </c>
    </row>
    <row r="14" spans="1:9" x14ac:dyDescent="0.25">
      <c r="A14">
        <v>21</v>
      </c>
      <c r="B14" t="s">
        <v>18</v>
      </c>
      <c r="C14">
        <v>56432565</v>
      </c>
      <c r="D14" s="1" t="s">
        <v>34</v>
      </c>
      <c r="E14" t="s">
        <v>47</v>
      </c>
      <c r="F14">
        <v>3456</v>
      </c>
    </row>
    <row r="15" spans="1:9" x14ac:dyDescent="0.25">
      <c r="A15">
        <v>34</v>
      </c>
      <c r="B15" t="s">
        <v>19</v>
      </c>
      <c r="C15">
        <v>64328976</v>
      </c>
      <c r="D15" s="1" t="s">
        <v>35</v>
      </c>
      <c r="E15" t="s">
        <v>48</v>
      </c>
      <c r="F15">
        <v>45672</v>
      </c>
    </row>
    <row r="16" spans="1:9" x14ac:dyDescent="0.25">
      <c r="A16">
        <v>23</v>
      </c>
      <c r="B16" t="s">
        <v>20</v>
      </c>
      <c r="C16">
        <v>75432678</v>
      </c>
      <c r="D16" s="1" t="s">
        <v>36</v>
      </c>
      <c r="E16" t="s">
        <v>49</v>
      </c>
      <c r="F16">
        <v>7896</v>
      </c>
    </row>
    <row r="17" spans="1:6" x14ac:dyDescent="0.25">
      <c r="A17">
        <v>56</v>
      </c>
      <c r="B17" t="s">
        <v>21</v>
      </c>
      <c r="C17">
        <v>43234567</v>
      </c>
      <c r="D17" s="1" t="s">
        <v>29</v>
      </c>
      <c r="E17" t="s">
        <v>50</v>
      </c>
      <c r="F17">
        <v>876</v>
      </c>
    </row>
    <row r="18" spans="1:6" x14ac:dyDescent="0.25">
      <c r="A18">
        <v>78</v>
      </c>
      <c r="B18" t="s">
        <v>22</v>
      </c>
      <c r="C18">
        <v>98776757</v>
      </c>
      <c r="D18" s="1" t="s">
        <v>55</v>
      </c>
      <c r="E18" t="s">
        <v>51</v>
      </c>
      <c r="F18">
        <v>432</v>
      </c>
    </row>
    <row r="19" spans="1:6" x14ac:dyDescent="0.25">
      <c r="A19">
        <v>12</v>
      </c>
      <c r="B19" t="s">
        <v>7</v>
      </c>
      <c r="C19">
        <v>99765435</v>
      </c>
      <c r="D19" s="1" t="s">
        <v>56</v>
      </c>
      <c r="E19" t="s">
        <v>52</v>
      </c>
      <c r="F19">
        <v>5432</v>
      </c>
    </row>
    <row r="20" spans="1:6" x14ac:dyDescent="0.25">
      <c r="A20">
        <v>45</v>
      </c>
      <c r="B20" t="s">
        <v>6</v>
      </c>
      <c r="C20">
        <v>87564532</v>
      </c>
      <c r="D20" s="1" t="s">
        <v>23</v>
      </c>
      <c r="E20" t="s">
        <v>53</v>
      </c>
      <c r="F20">
        <v>654</v>
      </c>
    </row>
    <row r="21" spans="1:6" x14ac:dyDescent="0.25">
      <c r="A21">
        <v>7</v>
      </c>
      <c r="B21" t="s">
        <v>8</v>
      </c>
      <c r="C21">
        <v>85646789</v>
      </c>
      <c r="D21" s="1" t="s">
        <v>23</v>
      </c>
      <c r="E21" t="s">
        <v>54</v>
      </c>
      <c r="F21">
        <v>4325</v>
      </c>
    </row>
  </sheetData>
  <hyperlinks>
    <hyperlink ref="D2" r:id="rId1" xr:uid="{A9265681-B202-4481-8F59-51EA253891E5}"/>
    <hyperlink ref="D3:D21" r:id="rId2" display="MARIA@GMAIL.COM" xr:uid="{0892D83F-0DA2-4FD7-9DD4-A2337D5BC018}"/>
    <hyperlink ref="D3" r:id="rId3" xr:uid="{9E1DEC43-16DE-421F-A5A9-DA0DA50ADAE9}"/>
    <hyperlink ref="D4" r:id="rId4" xr:uid="{8329F1D5-D52F-4F6D-99E3-294A70A3744E}"/>
    <hyperlink ref="D5" r:id="rId5" xr:uid="{6132FBD6-9ED4-45BD-A0A4-E1F51C91A5E5}"/>
    <hyperlink ref="D6" r:id="rId6" xr:uid="{9ECF1E2D-112C-45EC-A6B0-B6D781C17352}"/>
    <hyperlink ref="D7" r:id="rId7" xr:uid="{43A852DD-1EEC-47D2-B582-6E91CB9DA288}"/>
    <hyperlink ref="D8" r:id="rId8" xr:uid="{189E7F52-6C0F-454A-93BF-42D8DC5B722C}"/>
    <hyperlink ref="D9" r:id="rId9" xr:uid="{F581628F-2C65-4C80-B110-8C9A6262339C}"/>
    <hyperlink ref="D10" r:id="rId10" xr:uid="{95FB5334-31C4-49AA-948E-17377FF52DBC}"/>
    <hyperlink ref="D11" r:id="rId11" xr:uid="{D3E1BE5E-8F21-4029-9A47-BF40917454E2}"/>
    <hyperlink ref="D12" r:id="rId12" xr:uid="{1765F485-8D2E-4D2D-B763-4CA086E6AF3E}"/>
    <hyperlink ref="D13" r:id="rId13" xr:uid="{7305F70C-E4ED-41E7-824A-B7A74332D5A8}"/>
    <hyperlink ref="D15" r:id="rId14" xr:uid="{8AEE770E-EE58-4589-999C-6FABD2B528B6}"/>
    <hyperlink ref="D16" r:id="rId15" xr:uid="{55451606-26E5-469C-8D7B-10870A42A4FB}"/>
    <hyperlink ref="D17" r:id="rId16" xr:uid="{8121FC7D-E4A2-4ED9-B029-A0C43AB4B0DA}"/>
    <hyperlink ref="D18" r:id="rId17" xr:uid="{A1F24553-C730-4077-95A7-52CF9374D58F}"/>
    <hyperlink ref="D19" r:id="rId18" xr:uid="{5A7C0480-6DCE-4DF6-9A83-A08F1952F6F6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2026-05-21T17:02:08Z</dcterms:created>
  <dcterms:modified xsi:type="dcterms:W3CDTF">2026-05-21T17:30:04Z</dcterms:modified>
</cp:coreProperties>
</file>